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Up peak" sheetId="1" state="visible" r:id="rId3"/>
    <sheet name="Down peak" sheetId="2" state="visible" r:id="rId4"/>
  </sheets>
  <definedNames>
    <definedName function="false" hidden="false" name="H" vbProcedure="false">'Up peak'!$C$14</definedName>
    <definedName function="false" hidden="false" name="H_f" vbProcedure="false">'Up peak'!$C$6</definedName>
    <definedName function="false" hidden="false" name="L" vbProcedure="false">'Up peak'!$C$9</definedName>
    <definedName function="false" hidden="false" name="N" vbProcedure="false">'Up peak'!$C$7</definedName>
    <definedName function="false" hidden="false" name="P" vbProcedure="false">'Up peak'!$C$12</definedName>
    <definedName function="false" hidden="false" name="RTT" vbProcedure="false">'Up peak'!$C$20</definedName>
    <definedName function="false" hidden="false" name="S" vbProcedure="false">'Up peak'!$C$15</definedName>
    <definedName function="false" hidden="false" name="t" vbProcedure="false">'Up peak'!$C$17</definedName>
    <definedName function="false" hidden="false" name="t_p" vbProcedure="false">'Up peak'!$C$18</definedName>
    <definedName function="false" hidden="false" name="t_v" vbProcedure="false">'Up peak'!$C$16</definedName>
    <definedName function="false" hidden="false" name="v" vbProcedure="false">'Up peak'!$C$10</definedName>
    <definedName function="false" hidden="false" localSheetId="1" name="H" vbProcedure="false">'Down peak'!$C$14</definedName>
    <definedName function="false" hidden="false" localSheetId="1" name="H_f" vbProcedure="false">'Down peak'!$C$6</definedName>
    <definedName function="false" hidden="false" localSheetId="1" name="L" vbProcedure="false">'Down peak'!$C$9</definedName>
    <definedName function="false" hidden="false" localSheetId="1" name="N" vbProcedure="false">'Down peak'!$C$7</definedName>
    <definedName function="false" hidden="false" localSheetId="1" name="P" vbProcedure="false">'Down peak'!$C$12</definedName>
    <definedName function="false" hidden="false" localSheetId="1" name="RTT" vbProcedure="false">'Down peak'!$C$20</definedName>
    <definedName function="false" hidden="false" localSheetId="1" name="S" vbProcedure="false">'Down peak'!$C$15</definedName>
    <definedName function="false" hidden="false" localSheetId="1" name="t" vbProcedure="false">'Down peak'!$C$17</definedName>
    <definedName function="false" hidden="false" localSheetId="1" name="t_p" vbProcedure="false">'Down peak'!$C$18</definedName>
    <definedName function="false" hidden="false" localSheetId="1" name="t_v" vbProcedure="false">'Down peak'!$C$16</definedName>
    <definedName function="false" hidden="false" localSheetId="1" name="v" vbProcedure="false">'Down peak'!$C$10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<sst xmlns="http://schemas.openxmlformats.org/spreadsheetml/2006/main" count="82" uniqueCount="43">
  <si>
    <t xml:space="preserve">LIFT TRAFFIC ANALYSIS (AS PER NBC 2016) (UP PEAK)</t>
  </si>
  <si>
    <t xml:space="preserve">Parameter</t>
  </si>
  <si>
    <t xml:space="preserve">Symbol</t>
  </si>
  <si>
    <t xml:space="preserve">Value</t>
  </si>
  <si>
    <t xml:space="preserve">Description / Formula</t>
  </si>
  <si>
    <t xml:space="preserve">Total occupants served</t>
  </si>
  <si>
    <t xml:space="preserve">Floor Height (m)</t>
  </si>
  <si>
    <t xml:space="preserve">h_f</t>
  </si>
  <si>
    <t xml:space="preserve">Number of floors above main terminal floor</t>
  </si>
  <si>
    <t xml:space="preserve">N</t>
  </si>
  <si>
    <t xml:space="preserve">Lift Capacity (persons)</t>
  </si>
  <si>
    <t xml:space="preserve">No. of Lifts</t>
  </si>
  <si>
    <t xml:space="preserve">L</t>
  </si>
  <si>
    <t xml:space="preserve">Lift Speed (m/s)</t>
  </si>
  <si>
    <t xml:space="preserve">v</t>
  </si>
  <si>
    <t xml:space="preserve">Passenger Utilization (%)</t>
  </si>
  <si>
    <t xml:space="preserve">Avg passengers per trip</t>
  </si>
  <si>
    <t xml:space="preserve">P</t>
  </si>
  <si>
    <t xml:space="preserve">Average highest reversal floor</t>
  </si>
  <si>
    <t xml:space="preserve">H</t>
  </si>
  <si>
    <t xml:space="preserve">Top floor for RTT calculation</t>
  </si>
  <si>
    <t xml:space="preserve">Average number of stops</t>
  </si>
  <si>
    <t xml:space="preserve">S</t>
  </si>
  <si>
    <t xml:space="preserve">Average number of stops during RTT</t>
  </si>
  <si>
    <t xml:space="preserve">Transit Time per Floor (s)</t>
  </si>
  <si>
    <t xml:space="preserve">t_v</t>
  </si>
  <si>
    <t xml:space="preserve">t_v = h_f/v</t>
  </si>
  <si>
    <t xml:space="preserve">Door Operation Time (s)</t>
  </si>
  <si>
    <t xml:space="preserve">T</t>
  </si>
  <si>
    <t xml:space="preserve">(t_c + t_o + t_f)</t>
  </si>
  <si>
    <t xml:space="preserve">Passenger Transfer Time (s)</t>
  </si>
  <si>
    <t xml:space="preserve">t_p</t>
  </si>
  <si>
    <t xml:space="preserve">Time for one passenger to enter/exit</t>
  </si>
  <si>
    <t xml:space="preserve">RTT (s)</t>
  </si>
  <si>
    <t xml:space="preserve">RTT</t>
  </si>
  <si>
    <t xml:space="preserve">2*H*t_v + (S+1)*(T-t_v) + 2*P*t_p</t>
  </si>
  <si>
    <t xml:space="preserve">Handling Capacity (5 min)</t>
  </si>
  <si>
    <t xml:space="preserve">300*P*L/RTT</t>
  </si>
  <si>
    <t xml:space="preserve">Interval (s)</t>
  </si>
  <si>
    <t xml:space="preserve">RTT/L</t>
  </si>
  <si>
    <t xml:space="preserve">Percentage of occupants served during peak demand</t>
  </si>
  <si>
    <r>
      <rPr>
        <b val="true"/>
        <u val="single"/>
        <sz val="10"/>
        <color theme="1"/>
        <rFont val="Iosevka Etoile"/>
        <family val="0"/>
        <charset val="1"/>
      </rPr>
      <t xml:space="preserve">LIFT TRAFFIC ANALYSIS </t>
    </r>
    <r>
      <rPr>
        <b val="true"/>
        <u val="single"/>
        <sz val="10"/>
        <color theme="1"/>
        <rFont val="Iosevka Etoile"/>
        <family val="0"/>
      </rPr>
      <t xml:space="preserve"> (AS PER NBC 2016)</t>
    </r>
    <r>
      <rPr>
        <b val="true"/>
        <u val="single"/>
        <sz val="10"/>
        <color theme="1"/>
        <rFont val="Iosevka Etoile"/>
        <family val="0"/>
        <charset val="1"/>
      </rPr>
      <t xml:space="preserve"> (DOWN PEAK)</t>
    </r>
  </si>
  <si>
    <t xml:space="preserve">N*t_v + (0.5*S+1)*(T-t_v) + 2*P*t_p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</si>
</sst>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0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Iosevka Etoile"/>
      <family val="0"/>
      <charset val="1"/>
    </font>
    <font>
      <i val="true"/>
      <sz val="10"/>
      <color rgb="FFC9211E"/>
      <name val="Iosevka Etoile"/>
      <family val="0"/>
      <charset val="1"/>
    </font>
    <font>
      <b val="true"/>
      <u val="single"/>
      <sz val="10"/>
      <color theme="1"/>
      <name val="Iosevka Etoile"/>
      <family val="0"/>
      <charset val="1"/>
    </font>
    <font>
      <b val="true"/>
      <sz val="10"/>
      <color theme="1"/>
      <name val="Iosevka Etoile"/>
      <family val="0"/>
      <charset val="1"/>
    </font>
    <font>
      <b val="true"/>
      <i val="true"/>
      <sz val="10"/>
      <color rgb="FFC9211E"/>
      <name val="Iosevka Etoile"/>
      <family val="0"/>
      <charset val="1"/>
    </font>
    <font>
      <b val="true"/>
      <i val="true"/>
      <sz val="10"/>
      <color theme="1"/>
      <name val="Iosevka Etoile"/>
      <family val="0"/>
      <charset val="1"/>
    </font>
    <font>
      <i val="true"/>
      <sz val="10"/>
      <color theme="1"/>
      <name val="Iosevka Etoile"/>
      <family val="0"/>
      <charset val="1"/>
    </font>
    <font>
      <sz val="10"/>
      <color rgb="FFC9211E"/>
      <name val="Iosevka Etoile"/>
      <family val="0"/>
      <charset val="1"/>
    </font>
    <font>
      <b val="true"/>
      <u val="single"/>
      <sz val="10"/>
      <color theme="1"/>
      <name val="Iosevka Etoile"/>
      <family val="0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2" activeCellId="0" sqref="A2"/>
    </sheetView>
  </sheetViews>
  <sheetFormatPr defaultColWidth="11.53515625" defaultRowHeight="16.35" zeroHeight="false" outlineLevelRow="0" outlineLevelCol="0"/>
  <cols>
    <col collapsed="false" customWidth="true" hidden="false" outlineLevel="0" max="1" min="1" style="1" width="37.26"/>
    <col collapsed="false" customWidth="true" hidden="false" outlineLevel="0" max="2" min="2" style="2" width="9.63"/>
    <col collapsed="false" customWidth="true" hidden="false" outlineLevel="0" max="3" min="3" style="2" width="16.58"/>
    <col collapsed="false" customWidth="true" hidden="false" outlineLevel="0" max="4" min="4" style="3" width="41.15"/>
    <col collapsed="false" customWidth="false" hidden="false" outlineLevel="0" max="16384" min="5" style="2" width="11.53"/>
  </cols>
  <sheetData>
    <row r="1" s="5" customFormat="true" ht="17.4" hidden="false" customHeight="true" outlineLevel="0" collapsed="false">
      <c r="A1" s="4" t="s">
        <v>0</v>
      </c>
      <c r="B1" s="4"/>
      <c r="C1" s="4"/>
      <c r="D1" s="4"/>
    </row>
    <row r="2" s="5" customFormat="true" ht="16.35" hidden="false" customHeight="false" outlineLevel="0" collapsed="false">
      <c r="A2" s="6"/>
      <c r="B2" s="7"/>
      <c r="C2" s="7"/>
      <c r="D2" s="8"/>
    </row>
    <row r="3" s="12" customFormat="true" ht="16.35" hidden="false" customHeight="false" outlineLevel="0" collapsed="false">
      <c r="A3" s="9" t="s">
        <v>1</v>
      </c>
      <c r="B3" s="10" t="s">
        <v>2</v>
      </c>
      <c r="C3" s="10" t="s">
        <v>3</v>
      </c>
      <c r="D3" s="11" t="s">
        <v>4</v>
      </c>
    </row>
    <row r="4" s="5" customFormat="true" ht="16.35" hidden="false" customHeight="false" outlineLevel="0" collapsed="false">
      <c r="A4" s="13"/>
      <c r="B4" s="14"/>
      <c r="C4" s="14"/>
      <c r="D4" s="11"/>
    </row>
    <row r="5" customFormat="false" ht="16.35" hidden="false" customHeight="false" outlineLevel="0" collapsed="false">
      <c r="A5" s="15" t="s">
        <v>5</v>
      </c>
      <c r="B5" s="16"/>
      <c r="C5" s="17" t="n">
        <f aca="false">600/10*9</f>
        <v>540</v>
      </c>
      <c r="D5" s="18"/>
    </row>
    <row r="6" customFormat="false" ht="16.35" hidden="false" customHeight="false" outlineLevel="0" collapsed="false">
      <c r="A6" s="15" t="s">
        <v>6</v>
      </c>
      <c r="B6" s="16" t="s">
        <v>7</v>
      </c>
      <c r="C6" s="17" t="n">
        <v>3.3</v>
      </c>
      <c r="D6" s="18"/>
    </row>
    <row r="7" customFormat="false" ht="26.85" hidden="false" customHeight="false" outlineLevel="0" collapsed="false">
      <c r="A7" s="15" t="s">
        <v>8</v>
      </c>
      <c r="B7" s="16" t="s">
        <v>9</v>
      </c>
      <c r="C7" s="17" t="n">
        <v>9</v>
      </c>
      <c r="D7" s="19"/>
    </row>
    <row r="8" customFormat="false" ht="16.35" hidden="false" customHeight="false" outlineLevel="0" collapsed="false">
      <c r="A8" s="15" t="s">
        <v>10</v>
      </c>
      <c r="B8" s="16"/>
      <c r="C8" s="17" t="n">
        <v>15</v>
      </c>
      <c r="D8" s="18"/>
    </row>
    <row r="9" customFormat="false" ht="16.35" hidden="false" customHeight="false" outlineLevel="0" collapsed="false">
      <c r="A9" s="15" t="s">
        <v>11</v>
      </c>
      <c r="B9" s="16" t="s">
        <v>12</v>
      </c>
      <c r="C9" s="17" t="n">
        <v>2</v>
      </c>
      <c r="D9" s="18"/>
    </row>
    <row r="10" customFormat="false" ht="16.35" hidden="false" customHeight="false" outlineLevel="0" collapsed="false">
      <c r="A10" s="15" t="s">
        <v>13</v>
      </c>
      <c r="B10" s="16" t="s">
        <v>14</v>
      </c>
      <c r="C10" s="17" t="n">
        <v>1.5</v>
      </c>
      <c r="D10" s="18"/>
    </row>
    <row r="11" customFormat="false" ht="16.35" hidden="false" customHeight="false" outlineLevel="0" collapsed="false">
      <c r="A11" s="15" t="s">
        <v>15</v>
      </c>
      <c r="B11" s="16"/>
      <c r="C11" s="16" t="n">
        <v>80</v>
      </c>
      <c r="D11" s="18"/>
    </row>
    <row r="12" customFormat="false" ht="16.35" hidden="false" customHeight="false" outlineLevel="0" collapsed="false">
      <c r="A12" s="15" t="s">
        <v>16</v>
      </c>
      <c r="B12" s="16" t="s">
        <v>17</v>
      </c>
      <c r="C12" s="16" t="n">
        <f aca="false">C8*C11/100</f>
        <v>12</v>
      </c>
      <c r="D12" s="18"/>
    </row>
    <row r="13" customFormat="false" ht="16.35" hidden="false" customHeight="false" outlineLevel="0" collapsed="false">
      <c r="A13" s="15"/>
      <c r="B13" s="16"/>
      <c r="C13" s="16"/>
      <c r="D13" s="19"/>
    </row>
    <row r="14" customFormat="false" ht="16.35" hidden="false" customHeight="false" outlineLevel="0" collapsed="false">
      <c r="A14" s="15" t="s">
        <v>18</v>
      </c>
      <c r="B14" s="16" t="s">
        <v>19</v>
      </c>
      <c r="C14" s="20" t="n">
        <f aca="true">ROUND(N-SUMPRODUCT((ROW(INDIRECT("1:" &amp; N-1))/N)^P),1)</f>
        <v>8.7</v>
      </c>
      <c r="D14" s="18" t="s">
        <v>20</v>
      </c>
    </row>
    <row r="15" customFormat="false" ht="16.35" hidden="false" customHeight="false" outlineLevel="0" collapsed="false">
      <c r="A15" s="15" t="s">
        <v>21</v>
      </c>
      <c r="B15" s="16" t="s">
        <v>22</v>
      </c>
      <c r="C15" s="16" t="n">
        <f aca="false">ROUND(N*(1-(1-1/N)^P),1)</f>
        <v>6.8</v>
      </c>
      <c r="D15" s="18" t="s">
        <v>23</v>
      </c>
    </row>
    <row r="16" customFormat="false" ht="16.35" hidden="false" customHeight="false" outlineLevel="0" collapsed="false">
      <c r="A16" s="15" t="s">
        <v>24</v>
      </c>
      <c r="B16" s="16" t="s">
        <v>25</v>
      </c>
      <c r="C16" s="16" t="n">
        <f aca="false">H_f/v</f>
        <v>2.2</v>
      </c>
      <c r="D16" s="18" t="s">
        <v>26</v>
      </c>
    </row>
    <row r="17" customFormat="false" ht="16.35" hidden="false" customHeight="false" outlineLevel="0" collapsed="false">
      <c r="A17" s="15" t="s">
        <v>27</v>
      </c>
      <c r="B17" s="16" t="s">
        <v>28</v>
      </c>
      <c r="C17" s="21" t="n">
        <f aca="false">ROUND(3.2+3.2+2*SQRT(H_f/1),1)</f>
        <v>10</v>
      </c>
      <c r="D17" s="18" t="s">
        <v>29</v>
      </c>
    </row>
    <row r="18" customFormat="false" ht="16.35" hidden="false" customHeight="false" outlineLevel="0" collapsed="false">
      <c r="A18" s="15" t="s">
        <v>30</v>
      </c>
      <c r="B18" s="16" t="s">
        <v>31</v>
      </c>
      <c r="C18" s="17" t="n">
        <v>1.2</v>
      </c>
      <c r="D18" s="18" t="s">
        <v>32</v>
      </c>
    </row>
    <row r="19" customFormat="false" ht="16.35" hidden="false" customHeight="false" outlineLevel="0" collapsed="false">
      <c r="A19" s="15"/>
      <c r="B19" s="16"/>
      <c r="C19" s="16"/>
      <c r="D19" s="19"/>
    </row>
    <row r="20" customFormat="false" ht="16.35" hidden="false" customHeight="false" outlineLevel="0" collapsed="false">
      <c r="A20" s="15" t="s">
        <v>33</v>
      </c>
      <c r="B20" s="16" t="s">
        <v>34</v>
      </c>
      <c r="C20" s="16" t="n">
        <f aca="false">2*H*t_v + (S+1)*(t-t_v) + 2*P*t_p</f>
        <v>127.92</v>
      </c>
      <c r="D20" s="18" t="s">
        <v>35</v>
      </c>
    </row>
    <row r="21" customFormat="false" ht="16.35" hidden="false" customHeight="false" outlineLevel="0" collapsed="false">
      <c r="A21" s="15" t="s">
        <v>36</v>
      </c>
      <c r="B21" s="16"/>
      <c r="C21" s="22" t="n">
        <f aca="false">ROUND(300*P*L/RTT,0)</f>
        <v>56</v>
      </c>
      <c r="D21" s="18" t="s">
        <v>37</v>
      </c>
    </row>
    <row r="22" customFormat="false" ht="16.35" hidden="false" customHeight="false" outlineLevel="0" collapsed="false">
      <c r="A22" s="23" t="s">
        <v>38</v>
      </c>
      <c r="B22" s="24"/>
      <c r="C22" s="24" t="n">
        <f aca="false">RTT/L</f>
        <v>63.96</v>
      </c>
      <c r="D22" s="18" t="s">
        <v>39</v>
      </c>
    </row>
    <row r="23" s="27" customFormat="true" ht="26.85" hidden="false" customHeight="false" outlineLevel="0" collapsed="false">
      <c r="A23" s="23" t="s">
        <v>40</v>
      </c>
      <c r="B23" s="24"/>
      <c r="C23" s="25" t="n">
        <f aca="false">C21/C5</f>
        <v>0.103703703703704</v>
      </c>
      <c r="D23" s="26"/>
    </row>
    <row r="24" s="2" customFormat="true" ht="16.35" hidden="false" customHeight="false" outlineLevel="0" collapsed="false">
      <c r="D24" s="28"/>
    </row>
    <row r="25" s="2" customFormat="true" ht="16.35" hidden="false" customHeight="false" outlineLevel="0" collapsed="false">
      <c r="D25" s="28"/>
    </row>
    <row r="26" s="2" customFormat="true" ht="16.35" hidden="false" customHeight="false" outlineLevel="0" collapsed="false">
      <c r="D26" s="28"/>
    </row>
    <row r="27" s="2" customFormat="true" ht="16.35" hidden="false" customHeight="false" outlineLevel="0" collapsed="false">
      <c r="D27" s="28"/>
    </row>
    <row r="28" s="2" customFormat="true" ht="16.35" hidden="false" customHeight="false" outlineLevel="0" collapsed="false">
      <c r="D28" s="28"/>
    </row>
    <row r="29" s="2" customFormat="true" ht="16.35" hidden="false" customHeight="false" outlineLevel="0" collapsed="false">
      <c r="D29" s="28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2" activeCellId="0" sqref="A2"/>
    </sheetView>
  </sheetViews>
  <sheetFormatPr defaultColWidth="11.53515625" defaultRowHeight="16.35" zeroHeight="false" outlineLevelRow="0" outlineLevelCol="0"/>
  <cols>
    <col collapsed="false" customWidth="true" hidden="false" outlineLevel="0" max="1" min="1" style="1" width="37.26"/>
    <col collapsed="false" customWidth="true" hidden="false" outlineLevel="0" max="2" min="2" style="2" width="9.63"/>
    <col collapsed="false" customWidth="true" hidden="false" outlineLevel="0" max="3" min="3" style="2" width="16.58"/>
    <col collapsed="false" customWidth="true" hidden="false" outlineLevel="0" max="4" min="4" style="3" width="41.15"/>
    <col collapsed="false" customWidth="false" hidden="false" outlineLevel="0" max="16384" min="5" style="2" width="11.53"/>
  </cols>
  <sheetData>
    <row r="1" s="5" customFormat="true" ht="17.15" hidden="false" customHeight="true" outlineLevel="0" collapsed="false">
      <c r="A1" s="4" t="s">
        <v>41</v>
      </c>
      <c r="B1" s="4"/>
      <c r="C1" s="4"/>
      <c r="D1" s="4"/>
    </row>
    <row r="2" s="5" customFormat="true" ht="16.35" hidden="false" customHeight="false" outlineLevel="0" collapsed="false">
      <c r="A2" s="6"/>
      <c r="B2" s="7"/>
      <c r="C2" s="7"/>
      <c r="D2" s="8"/>
    </row>
    <row r="3" s="12" customFormat="true" ht="16.35" hidden="false" customHeight="false" outlineLevel="0" collapsed="false">
      <c r="A3" s="9" t="s">
        <v>1</v>
      </c>
      <c r="B3" s="10" t="s">
        <v>2</v>
      </c>
      <c r="C3" s="10" t="s">
        <v>3</v>
      </c>
      <c r="D3" s="11" t="s">
        <v>4</v>
      </c>
    </row>
    <row r="4" s="5" customFormat="true" ht="16.35" hidden="false" customHeight="false" outlineLevel="0" collapsed="false">
      <c r="A4" s="13"/>
      <c r="B4" s="14"/>
      <c r="C4" s="14"/>
      <c r="D4" s="11"/>
    </row>
    <row r="5" customFormat="false" ht="16.35" hidden="false" customHeight="false" outlineLevel="0" collapsed="false">
      <c r="A5" s="15" t="s">
        <v>5</v>
      </c>
      <c r="B5" s="16"/>
      <c r="C5" s="17" t="n">
        <f aca="false">600/10*9</f>
        <v>540</v>
      </c>
      <c r="D5" s="18"/>
    </row>
    <row r="6" customFormat="false" ht="16.35" hidden="false" customHeight="false" outlineLevel="0" collapsed="false">
      <c r="A6" s="15" t="s">
        <v>6</v>
      </c>
      <c r="B6" s="16" t="s">
        <v>7</v>
      </c>
      <c r="C6" s="17" t="n">
        <v>3.3</v>
      </c>
      <c r="D6" s="18"/>
    </row>
    <row r="7" customFormat="false" ht="26.85" hidden="false" customHeight="false" outlineLevel="0" collapsed="false">
      <c r="A7" s="15" t="s">
        <v>8</v>
      </c>
      <c r="B7" s="16" t="s">
        <v>9</v>
      </c>
      <c r="C7" s="17" t="n">
        <v>9</v>
      </c>
      <c r="D7" s="19"/>
    </row>
    <row r="8" customFormat="false" ht="16.35" hidden="false" customHeight="false" outlineLevel="0" collapsed="false">
      <c r="A8" s="15" t="s">
        <v>10</v>
      </c>
      <c r="B8" s="16"/>
      <c r="C8" s="17" t="n">
        <v>15</v>
      </c>
      <c r="D8" s="18"/>
    </row>
    <row r="9" customFormat="false" ht="16.35" hidden="false" customHeight="false" outlineLevel="0" collapsed="false">
      <c r="A9" s="15" t="s">
        <v>11</v>
      </c>
      <c r="B9" s="16" t="s">
        <v>12</v>
      </c>
      <c r="C9" s="17" t="n">
        <v>2</v>
      </c>
      <c r="D9" s="18"/>
    </row>
    <row r="10" customFormat="false" ht="16.35" hidden="false" customHeight="false" outlineLevel="0" collapsed="false">
      <c r="A10" s="15" t="s">
        <v>13</v>
      </c>
      <c r="B10" s="16" t="s">
        <v>14</v>
      </c>
      <c r="C10" s="17" t="n">
        <v>1.5</v>
      </c>
      <c r="D10" s="18"/>
    </row>
    <row r="11" customFormat="false" ht="16.35" hidden="false" customHeight="false" outlineLevel="0" collapsed="false">
      <c r="A11" s="15" t="s">
        <v>15</v>
      </c>
      <c r="B11" s="16"/>
      <c r="C11" s="16" t="n">
        <v>80</v>
      </c>
      <c r="D11" s="18"/>
    </row>
    <row r="12" customFormat="false" ht="16.35" hidden="false" customHeight="false" outlineLevel="0" collapsed="false">
      <c r="A12" s="15" t="s">
        <v>16</v>
      </c>
      <c r="B12" s="16" t="s">
        <v>17</v>
      </c>
      <c r="C12" s="16" t="n">
        <f aca="false">C8*C11/100</f>
        <v>12</v>
      </c>
      <c r="D12" s="18"/>
    </row>
    <row r="13" customFormat="false" ht="16.35" hidden="false" customHeight="false" outlineLevel="0" collapsed="false">
      <c r="A13" s="15"/>
      <c r="B13" s="16"/>
      <c r="C13" s="16"/>
      <c r="D13" s="19"/>
    </row>
    <row r="14" customFormat="false" ht="16.35" hidden="false" customHeight="false" outlineLevel="0" collapsed="false">
      <c r="A14" s="15" t="s">
        <v>18</v>
      </c>
      <c r="B14" s="16" t="s">
        <v>19</v>
      </c>
      <c r="C14" s="20" t="n">
        <f aca="true">ROUND(N-SUMPRODUCT((ROW(INDIRECT("1:" &amp; N-1))/N)^P),1)</f>
        <v>8.7</v>
      </c>
      <c r="D14" s="18" t="s">
        <v>20</v>
      </c>
    </row>
    <row r="15" customFormat="false" ht="16.35" hidden="false" customHeight="false" outlineLevel="0" collapsed="false">
      <c r="A15" s="15" t="s">
        <v>21</v>
      </c>
      <c r="B15" s="16" t="s">
        <v>22</v>
      </c>
      <c r="C15" s="16" t="n">
        <f aca="false">ROUND(N*(1-(1-1/N)^P),1)</f>
        <v>6.8</v>
      </c>
      <c r="D15" s="18" t="s">
        <v>23</v>
      </c>
    </row>
    <row r="16" customFormat="false" ht="16.35" hidden="false" customHeight="false" outlineLevel="0" collapsed="false">
      <c r="A16" s="15" t="s">
        <v>24</v>
      </c>
      <c r="B16" s="16" t="s">
        <v>25</v>
      </c>
      <c r="C16" s="16" t="n">
        <f aca="false">H_f/v</f>
        <v>2.2</v>
      </c>
      <c r="D16" s="18" t="s">
        <v>26</v>
      </c>
    </row>
    <row r="17" customFormat="false" ht="16.35" hidden="false" customHeight="false" outlineLevel="0" collapsed="false">
      <c r="A17" s="15" t="s">
        <v>27</v>
      </c>
      <c r="B17" s="16" t="s">
        <v>28</v>
      </c>
      <c r="C17" s="21" t="n">
        <f aca="false">ROUND(3.2+3.2+2*SQRT(H_f/1),1)</f>
        <v>10</v>
      </c>
      <c r="D17" s="18" t="s">
        <v>29</v>
      </c>
    </row>
    <row r="18" customFormat="false" ht="16.35" hidden="false" customHeight="false" outlineLevel="0" collapsed="false">
      <c r="A18" s="15" t="s">
        <v>30</v>
      </c>
      <c r="B18" s="16" t="s">
        <v>31</v>
      </c>
      <c r="C18" s="17" t="n">
        <v>1.2</v>
      </c>
      <c r="D18" s="18" t="s">
        <v>32</v>
      </c>
    </row>
    <row r="19" customFormat="false" ht="16.35" hidden="false" customHeight="false" outlineLevel="0" collapsed="false">
      <c r="A19" s="15"/>
      <c r="B19" s="16"/>
      <c r="C19" s="16"/>
      <c r="D19" s="19"/>
    </row>
    <row r="20" customFormat="false" ht="16.35" hidden="false" customHeight="false" outlineLevel="0" collapsed="false">
      <c r="A20" s="15" t="s">
        <v>33</v>
      </c>
      <c r="B20" s="16" t="s">
        <v>34</v>
      </c>
      <c r="C20" s="16" t="n">
        <f aca="false">N*t_v + (0.5*S+1)*(t-t_v) + 2*P*t_p</f>
        <v>82.92</v>
      </c>
      <c r="D20" s="18" t="s">
        <v>42</v>
      </c>
    </row>
    <row r="21" customFormat="false" ht="16.35" hidden="false" customHeight="false" outlineLevel="0" collapsed="false">
      <c r="A21" s="15" t="s">
        <v>36</v>
      </c>
      <c r="B21" s="16"/>
      <c r="C21" s="22" t="n">
        <f aca="false">ROUND(300*P*L/RTT,0)</f>
        <v>87</v>
      </c>
      <c r="D21" s="18" t="s">
        <v>37</v>
      </c>
    </row>
    <row r="22" customFormat="false" ht="16.35" hidden="false" customHeight="false" outlineLevel="0" collapsed="false">
      <c r="A22" s="23" t="s">
        <v>38</v>
      </c>
      <c r="B22" s="24"/>
      <c r="C22" s="24" t="n">
        <f aca="false">RTT/L</f>
        <v>41.46</v>
      </c>
      <c r="D22" s="18" t="s">
        <v>39</v>
      </c>
    </row>
    <row r="23" s="27" customFormat="true" ht="26.85" hidden="false" customHeight="false" outlineLevel="0" collapsed="false">
      <c r="A23" s="23" t="s">
        <v>40</v>
      </c>
      <c r="B23" s="24"/>
      <c r="C23" s="25" t="n">
        <f aca="false">C21/C5</f>
        <v>0.161111111111111</v>
      </c>
      <c r="D23" s="26"/>
    </row>
    <row r="24" s="2" customFormat="true" ht="16.35" hidden="false" customHeight="false" outlineLevel="0" collapsed="false">
      <c r="D24" s="28"/>
    </row>
    <row r="25" s="2" customFormat="true" ht="16.35" hidden="false" customHeight="false" outlineLevel="0" collapsed="false">
      <c r="D25" s="28"/>
    </row>
    <row r="26" s="2" customFormat="true" ht="16.35" hidden="false" customHeight="false" outlineLevel="0" collapsed="false">
      <c r="D26" s="28"/>
    </row>
    <row r="27" s="2" customFormat="true" ht="16.35" hidden="false" customHeight="false" outlineLevel="0" collapsed="false">
      <c r="D27" s="28"/>
    </row>
    <row r="28" s="2" customFormat="true" ht="16.35" hidden="false" customHeight="false" outlineLevel="0" collapsed="false">
      <c r="D28" s="28"/>
    </row>
    <row r="29" s="2" customFormat="true" ht="16.35" hidden="false" customHeight="false" outlineLevel="0" collapsed="false">
      <c r="D29" s="28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2025-06-03T18:03:58Z</dcterms:created>
  <dc:creator/>
  <dc:description/>
  <dc:language>en-IN</dc:language>
  <cp:lastModifiedBy/>
  <dcterms:modified xsi:type="dcterms:W3CDTF">2025-06-04T01:09:17Z</dcterms:modified>
  <cp:revision>144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